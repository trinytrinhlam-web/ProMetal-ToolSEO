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Thông tin chung" sheetId="2" state="visible" r:id="rId4"/>
    <sheet name="Dịch vụ &amp; giá" sheetId="3" state="visible" r:id="rId5"/>
    <sheet name="Khu vự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<sst xmlns="http://schemas.openxmlformats.org/spreadsheetml/2006/main" count="283" uniqueCount="215">
  <si>
    <t xml:space="preserve">File thông tin để viết bài – suachuacuasat.com</t>
  </si>
  <si>
    <t xml:space="preserve">Phần mềm ProMetal-ToolSEO đọc trực tiếp file này. Lập ngày 07/10/2026.</t>
  </si>
  <si>
    <t xml:space="preserve">Cách điền</t>
  </si>
  <si>
    <t xml:space="preserve">Ô màu vàng</t>
  </si>
  <si>
    <t xml:space="preserve">Bạn điền.</t>
  </si>
  <si>
    <t xml:space="preserve">Ô màu xám</t>
  </si>
  <si>
    <t xml:space="preserve">Đã điền sẵn từ website ngày 07/10/2026 hoặc do file tự tính. Kiểm tra lại, sai thì sửa.</t>
  </si>
  <si>
    <t xml:space="preserve">Cột có dấu *</t>
  </si>
  <si>
    <t xml:space="preserve">Bắt buộc. Ô nào chưa chắc thì để trống: bài viết sẽ không nhắc tới thông tin đó, phần mềm không tự bịa.</t>
  </si>
  <si>
    <t xml:space="preserve">Dòng “VD”</t>
  </si>
  <si>
    <t xml:space="preserve">Ví dụ cách điền. Phần mềm bỏ qua dòng này.</t>
  </si>
  <si>
    <t xml:space="preserve">Tên cột</t>
  </si>
  <si>
    <t xml:space="preserve">Không đổi tên cột, không xóa dòng tiêu đề (phần mềm đọc theo tên cột).</t>
  </si>
  <si>
    <t xml:space="preserve">Điền dần</t>
  </si>
  <si>
    <t xml:space="preserve">Không cần điền hết một lần. Khu vực nào có địa chỉ và ít nhất 1 công trình thì làm được trang khu vực đó.</t>
  </si>
  <si>
    <t xml:space="preserve">Địa chỉ</t>
  </si>
  <si>
    <t xml:space="preserve">Ghi theo phường/xã mới (từ 01/7/2025). Tên khu vực vẫn dùng tên quận/huyện quen gọi.</t>
  </si>
  <si>
    <t xml:space="preserve">Công trình</t>
  </si>
  <si>
    <t xml:space="preserve">Chỉ ghi tên đường hoặc khu, hạng mục, năm. Không ghi số nhà của khách. Nhiều công trình thì xuống dòng trong ô (Alt+Enter).</t>
  </si>
  <si>
    <t xml:space="preserve">Ảnh</t>
  </si>
  <si>
    <t xml:space="preserve">Dán link thư mục Google Drive hoặc ghi tên thư mục trên USB.</t>
  </si>
  <si>
    <t xml:space="preserve">Giá</t>
  </si>
  <si>
    <t xml:space="preserve">Ghi số, đơn vị đồng (ví dụ 300000). Không chắc thì để trống: bài sẽ ghi “báo giá sau khi khảo sát”.</t>
  </si>
  <si>
    <t xml:space="preserve">Tiến độ (tự tính)</t>
  </si>
  <si>
    <t xml:space="preserve">Khu vực đã có địa chỉ (đủ số nhà + phường)</t>
  </si>
  <si>
    <t xml:space="preserve">Khu vực chọn làm trang riêng</t>
  </si>
  <si>
    <t xml:space="preserve">Khu vực đã ghi công trình tiêu biểu</t>
  </si>
  <si>
    <t xml:space="preserve">Dịch vụ đã xác nhận có làm</t>
  </si>
  <si>
    <t xml:space="preserve">Mục thông tin chung đã có giá trị</t>
  </si>
  <si>
    <t xml:space="preserve">Thông tin chung về Pro-Metal</t>
  </si>
  <si>
    <t xml:space="preserve">Dùng cho mọi bài viết: hotline, giờ làm, bảo hành, tác giả… Ô trống = bài không nhắc tới.</t>
  </si>
  <si>
    <t xml:space="preserve">STT</t>
  </si>
  <si>
    <t xml:space="preserve">Mục</t>
  </si>
  <si>
    <t xml:space="preserve">Giá trị</t>
  </si>
  <si>
    <t xml:space="preserve">Ghi chú</t>
  </si>
  <si>
    <t xml:space="preserve">Tên thương hiệu*</t>
  </si>
  <si>
    <t xml:space="preserve">Cơ khí Pro-Metal</t>
  </si>
  <si>
    <t xml:space="preserve">Lấy từ website</t>
  </si>
  <si>
    <t xml:space="preserve">Tên công ty đầy đủ (nếu có)</t>
  </si>
  <si>
    <t xml:space="preserve">Mã số thuế (nếu muốn hiện trên web)</t>
  </si>
  <si>
    <t xml:space="preserve">Hotline*</t>
  </si>
  <si>
    <t xml:space="preserve">0344440717</t>
  </si>
  <si>
    <t xml:space="preserve">Website đang ghi 03.4444.07.17</t>
  </si>
  <si>
    <t xml:space="preserve">Zalo*</t>
  </si>
  <si>
    <t xml:space="preserve">https://zalo.me/0344440717</t>
  </si>
  <si>
    <t xml:space="preserve">Email</t>
  </si>
  <si>
    <t xml:space="preserve">Giờ làm việc chung*</t>
  </si>
  <si>
    <t xml:space="preserve">6:00 – 21:00 hằng ngày</t>
  </si>
  <si>
    <t xml:space="preserve">Lấy từ trang Liên hệ</t>
  </si>
  <si>
    <t xml:space="preserve">Nhận việc gấp ngoài giờ, ngày lễ?</t>
  </si>
  <si>
    <t xml:space="preserve">Địa chỉ trụ sở (số nhà, đường)*</t>
  </si>
  <si>
    <t xml:space="preserve">728/1 Lê Trọng Tấn</t>
  </si>
  <si>
    <t xml:space="preserve">Phường mới của trụ sở*</t>
  </si>
  <si>
    <t xml:space="preserve">Website đang ghi “Sơn Kỳ, Bình Tân”. Sơn Kỳ là phường của Tân Phú cũ, từ 7/2025 đã nhập vào phường mới. Cần tra đúng phường mới.</t>
  </si>
  <si>
    <t xml:space="preserve">Link Google Maps trụ sở</t>
  </si>
  <si>
    <t xml:space="preserve">Năm bắt đầu hoạt động</t>
  </si>
  <si>
    <t xml:space="preserve">Chỉ khi điền thì bài mới ghi “… năm kinh nghiệm”</t>
  </si>
  <si>
    <t xml:space="preserve">Tổng số thợ</t>
  </si>
  <si>
    <t xml:space="preserve">Thời gian thợ có mặt trung bình (phút)</t>
  </si>
  <si>
    <t xml:space="preserve">Áp dụng khi khu vực không ghi riêng</t>
  </si>
  <si>
    <t xml:space="preserve">Bảo hành sửa chữa (thời gian, phạm vi)*</t>
  </si>
  <si>
    <t xml:space="preserve">Bảo hành thi công mới (thời gian, phạm vi)*</t>
  </si>
  <si>
    <t xml:space="preserve">2 năm cho công trình</t>
  </si>
  <si>
    <t xml:space="preserve">Website đang ghi như vậy. Ghi rõ phạm vi: hạng mục nào, không bảo hành trường hợp nào</t>
  </si>
  <si>
    <t xml:space="preserve">Khảo sát, báo giá miễn phí?</t>
  </si>
  <si>
    <t xml:space="preserve">Phí đi lại (nếu có)</t>
  </si>
  <si>
    <t xml:space="preserve">Hình thức thanh toán</t>
  </si>
  <si>
    <t xml:space="preserve">Có xuất hóa đơn VAT?</t>
  </si>
  <si>
    <t xml:space="preserve">Người đứng tên tác giả bài viết (họ tên, vai trò)*</t>
  </si>
  <si>
    <t xml:space="preserve">Hiện ở phần tác giả của bài hướng dẫn</t>
  </si>
  <si>
    <t xml:space="preserve">Số năm kinh nghiệm của người đứng tên</t>
  </si>
  <si>
    <t xml:space="preserve">Số đánh giá Google và điểm trung bình (ghi kèm ngày xem)</t>
  </si>
  <si>
    <t xml:space="preserve">Chỉ nhắc trong bài nếu điền</t>
  </si>
  <si>
    <t xml:space="preserve">Link Facebook</t>
  </si>
  <si>
    <t xml:space="preserve">Link YouTube / TikTok</t>
  </si>
  <si>
    <t xml:space="preserve">Dịch vụ và giá</t>
  </si>
  <si>
    <t xml:space="preserve">Xác nhận dịch vụ nào có làm. Phần “hư hỏng hay gặp” và “mẹo” do thợ ghi là nguồn nội dung quan trọng nhất của bài hướng dẫn.</t>
  </si>
  <si>
    <t xml:space="preserve">Nhóm</t>
  </si>
  <si>
    <t xml:space="preserve">Dịch vụ</t>
  </si>
  <si>
    <t xml:space="preserve">URL trang đang có</t>
  </si>
  <si>
    <t xml:space="preserve">Có làm?*</t>
  </si>
  <si>
    <t xml:space="preserve">Giá từ (đồng)</t>
  </si>
  <si>
    <t xml:space="preserve">Giá đến (đồng)</t>
  </si>
  <si>
    <t xml:space="preserve">Đơn vị tính</t>
  </si>
  <si>
    <t xml:space="preserve">Giá đã gồm</t>
  </si>
  <si>
    <t xml:space="preserve">Bảo hành</t>
  </si>
  <si>
    <t xml:space="preserve">Thời gian làm thường gặp</t>
  </si>
  <si>
    <t xml:space="preserve">Hư hỏng hay gặp (thợ ghi)</t>
  </si>
  <si>
    <t xml:space="preserve">Mẹo, lưu ý cho khách (thợ ghi)</t>
  </si>
  <si>
    <t xml:space="preserve">VD</t>
  </si>
  <si>
    <t xml:space="preserve">Sửa chữa</t>
  </si>
  <si>
    <t xml:space="preserve">Thay bánh xe cửa kéo (ví dụ)</t>
  </si>
  <si>
    <t xml:space="preserve">Có</t>
  </si>
  <si>
    <t xml:space="preserve">bộ</t>
  </si>
  <si>
    <t xml:space="preserve">Công + bánh xe</t>
  </si>
  <si>
    <t xml:space="preserve">6 tháng</t>
  </si>
  <si>
    <t xml:space="preserve">1–2 giờ</t>
  </si>
  <si>
    <t xml:space="preserve">Bánh xe mòn, vỡ bạc đạn do lâu không tra dầu</t>
  </si>
  <si>
    <t xml:space="preserve">Tra dầu ray định kỳ</t>
  </si>
  <si>
    <t xml:space="preserve">Sửa cửa sắt tại nhà</t>
  </si>
  <si>
    <t xml:space="preserve">/dich-vu-sua-chua-cua-sat-tai-nha-hcm/</t>
  </si>
  <si>
    <t xml:space="preserve">Sửa cửa kéo</t>
  </si>
  <si>
    <t xml:space="preserve">/sua-cua-keo-tphcm/</t>
  </si>
  <si>
    <t xml:space="preserve">Thợ hàn sắt tại nhà</t>
  </si>
  <si>
    <t xml:space="preserve">/tho-han-sat-tai-nha-tphcm/</t>
  </si>
  <si>
    <t xml:space="preserve">Thợ hàn inox tại nhà</t>
  </si>
  <si>
    <t xml:space="preserve">/tho-han-inox-tai-nha/</t>
  </si>
  <si>
    <t xml:space="preserve">Sửa lan can cầu thang</t>
  </si>
  <si>
    <t xml:space="preserve">/sua-lan-can-cau-thang/</t>
  </si>
  <si>
    <t xml:space="preserve">Sửa mái hiên, mái che</t>
  </si>
  <si>
    <t xml:space="preserve">/sua-mai-hien-mai-che/</t>
  </si>
  <si>
    <t xml:space="preserve">Sửa chống dột mái tôn</t>
  </si>
  <si>
    <t xml:space="preserve">/sua-chong-dot-mai-ton/</t>
  </si>
  <si>
    <t xml:space="preserve">Sửa cửa nhôm kính</t>
  </si>
  <si>
    <t xml:space="preserve">/sua-cua-nhom-kinh/</t>
  </si>
  <si>
    <t xml:space="preserve">Sửa cổng sắt, cổng lùa (kẹt ray, thay bánh xe)</t>
  </si>
  <si>
    <t xml:space="preserve">(chưa có trang)</t>
  </si>
  <si>
    <t xml:space="preserve">Sửa cửa cuốn</t>
  </si>
  <si>
    <t xml:space="preserve">Sửa cổng tự động, motor cổng</t>
  </si>
  <si>
    <t xml:space="preserve">Thay khóa cửa sắt</t>
  </si>
  <si>
    <t xml:space="preserve">Sơn lại cửa sắt, xử lý gỉ sét</t>
  </si>
  <si>
    <t xml:space="preserve">Thi công mới</t>
  </si>
  <si>
    <t xml:space="preserve">Thiết kế, thi công cửa sắt</t>
  </si>
  <si>
    <t xml:space="preserve">/thiet-ke-thi-cong-sua-chua-cua-sat-hcm/</t>
  </si>
  <si>
    <t xml:space="preserve">Làm cửa kéo</t>
  </si>
  <si>
    <t xml:space="preserve">/lam-cua-keo-tphcm/</t>
  </si>
  <si>
    <t xml:space="preserve">Cửa kéo, cửa xếp nhôm</t>
  </si>
  <si>
    <t xml:space="preserve">/cua-keo-cua-xep-nhom/</t>
  </si>
  <si>
    <t xml:space="preserve">Cổng inox</t>
  </si>
  <si>
    <t xml:space="preserve">/cua-cong-inox/</t>
  </si>
  <si>
    <t xml:space="preserve">Thi công lan can cầu thang (trang chung)</t>
  </si>
  <si>
    <t xml:space="preserve">/thiet-ke-thi-cong-sua-chua-cau-thang-lan-can/</t>
  </si>
  <si>
    <t xml:space="preserve">Lan can cầu thang sắt</t>
  </si>
  <si>
    <t xml:space="preserve">/lan-can-cau-thang-sat/</t>
  </si>
  <si>
    <t xml:space="preserve">Lan can cầu thang inox</t>
  </si>
  <si>
    <t xml:space="preserve">/lan-can-cau-thang-inox/</t>
  </si>
  <si>
    <t xml:space="preserve">Làm mái hiên</t>
  </si>
  <si>
    <t xml:space="preserve">/lam-mai-hien-tphcm/</t>
  </si>
  <si>
    <t xml:space="preserve">Mái che khung inox</t>
  </si>
  <si>
    <t xml:space="preserve">/mai-che-khung-inox/</t>
  </si>
  <si>
    <t xml:space="preserve">Cửa nhôm kính Xingfa</t>
  </si>
  <si>
    <t xml:space="preserve">/cua-nhom-kinh-xingfa/</t>
  </si>
  <si>
    <t xml:space="preserve">Vách kính mặt dựng nhôm</t>
  </si>
  <si>
    <t xml:space="preserve">/vach-kinh-mat-dung-nhom/</t>
  </si>
  <si>
    <t xml:space="preserve">Vách ngăn panel</t>
  </si>
  <si>
    <t xml:space="preserve">/thi-cong-vach-ngan-panel-tphcm/</t>
  </si>
  <si>
    <t xml:space="preserve">Thi công nhà xưởng</t>
  </si>
  <si>
    <t xml:space="preserve">/thi-cong-nha-xuong/</t>
  </si>
  <si>
    <t xml:space="preserve">Địa chỉ và thông tin từng khu vực</t>
  </si>
  <si>
    <t xml:space="preserve">Mỗi dòng là một quận/huyện. Dòng 25–26 dành cho khu vực khác (ví dụ khu Bình Dương, Bà Rịa – Vũng Tàu cũ nếu có phục vụ).</t>
  </si>
  <si>
    <t xml:space="preserve">Khu vực*</t>
  </si>
  <si>
    <t xml:space="preserve">Thuộc</t>
  </si>
  <si>
    <t xml:space="preserve">Đang có trên web (tham khảo)</t>
  </si>
  <si>
    <t xml:space="preserve">Làm trang riêng?*</t>
  </si>
  <si>
    <t xml:space="preserve">Số nhà, tên đường*</t>
  </si>
  <si>
    <t xml:space="preserve">Phường/xã mới (từ 01/7/2025)*</t>
  </si>
  <si>
    <t xml:space="preserve">Địa chỉ đầy đủ (tự ghép)</t>
  </si>
  <si>
    <t xml:space="preserve">Loại địa điểm</t>
  </si>
  <si>
    <t xml:space="preserve">Link Google Maps</t>
  </si>
  <si>
    <t xml:space="preserve">Có Google Business Profile riêng?</t>
  </si>
  <si>
    <t xml:space="preserve">SĐT riêng (nếu khác hotline)</t>
  </si>
  <si>
    <t xml:space="preserve">Giờ làm việc (nếu khác giờ chung)</t>
  </si>
  <si>
    <t xml:space="preserve">Dịch vụ KHÔNG làm ở khu vực này</t>
  </si>
  <si>
    <t xml:space="preserve">Loại nhà, công trình hay gặp</t>
  </si>
  <si>
    <t xml:space="preserve">Công trình tiêu biểu đã làm (đường/khu, hạng mục, năm)</t>
  </si>
  <si>
    <t xml:space="preserve">Link thư mục ảnh công trình</t>
  </si>
  <si>
    <t xml:space="preserve">Câu khách khu vực này hay hỏi</t>
  </si>
  <si>
    <t xml:space="preserve">Bình Tân (ví dụ)</t>
  </si>
  <si>
    <t xml:space="preserve">Quận</t>
  </si>
  <si>
    <t xml:space="preserve">123 Đường Số 7</t>
  </si>
  <si>
    <t xml:space="preserve">Phường Bình Trị Đông</t>
  </si>
  <si>
    <t xml:space="preserve">Xưởng</t>
  </si>
  <si>
    <t xml:space="preserve">https://maps.app.goo.gl/...</t>
  </si>
  <si>
    <t xml:space="preserve">Cửa cuốn</t>
  </si>
  <si>
    <t xml:space="preserve">Nhà phố trong hẻm, xưởng nhỏ</t>
  </si>
  <si>
    <t xml:space="preserve">Đường Số 7 – thay bánh xe cửa kéo, 2026
Khu dân cư ABC – hàn lại cổng sắt, 2025</t>
  </si>
  <si>
    <t xml:space="preserve">https://drive.google.com/...</t>
  </si>
  <si>
    <t xml:space="preserve">Cửa kéo bị kẹt có sửa trong ngày được không?</t>
  </si>
  <si>
    <t xml:space="preserve">Quận 1</t>
  </si>
  <si>
    <t xml:space="preserve">Trang Liên hệ: 44 Đinh Công Tráng, Tân Định, Quận 1; 202 Lê Lai, P. Phạm Ngũ Lão, Quận 1</t>
  </si>
  <si>
    <t xml:space="preserve">Quận 3</t>
  </si>
  <si>
    <t xml:space="preserve">Trang Liên hệ: 64 Vườn Chuối, Quận 3; 216 Lý Chính Thắng, P.9, Quận 3; 412 Nguyễn Thị Minh Khai, P.5, Quận 3</t>
  </si>
  <si>
    <t xml:space="preserve">Quận 4</t>
  </si>
  <si>
    <t xml:space="preserve">Quận 5</t>
  </si>
  <si>
    <t xml:space="preserve">Quận 6</t>
  </si>
  <si>
    <t xml:space="preserve">Quận 7</t>
  </si>
  <si>
    <t xml:space="preserve">Quận 8</t>
  </si>
  <si>
    <t xml:space="preserve">Quận 10</t>
  </si>
  <si>
    <t xml:space="preserve">Quận 11</t>
  </si>
  <si>
    <t xml:space="preserve">Quận 12</t>
  </si>
  <si>
    <t xml:space="preserve">Có trong footer “Khu vực phục vụ”</t>
  </si>
  <si>
    <t xml:space="preserve">Bình Tân</t>
  </si>
  <si>
    <t xml:space="preserve">Trang Liên hệ: 1686 Tỉnh Lộ 10, P. Bình Tân; trụ sở 728/1 Lê Trọng Tấn, Sơn Kỳ, Bình Tân; Có trong footer “Khu vực phục vụ”</t>
  </si>
  <si>
    <t xml:space="preserve">Trụ sở ghi “Sơn Kỳ, Bình Tân” nhưng Sơn Kỳ thuộc Tân Phú cũ: cần xác định trụ sở thuộc khu vực nào</t>
  </si>
  <si>
    <t xml:space="preserve">Bình Thạnh</t>
  </si>
  <si>
    <t xml:space="preserve">Gò Vấp</t>
  </si>
  <si>
    <t xml:space="preserve">Phú Nhuận</t>
  </si>
  <si>
    <t xml:space="preserve">Tân Bình</t>
  </si>
  <si>
    <t xml:space="preserve">Trang Liên hệ: Lầu 4, 249 Cộng Hòa, P.13, Tân Bình; 11A Hồng Hà, P.2, Tân Bình</t>
  </si>
  <si>
    <t xml:space="preserve">Tân Phú</t>
  </si>
  <si>
    <t xml:space="preserve">Xem ghi chú dòng Bình Tân về địa chỉ trụ sở</t>
  </si>
  <si>
    <t xml:space="preserve">Thủ Đức</t>
  </si>
  <si>
    <t xml:space="preserve">TP Thủ Đức (2021–6/2025)</t>
  </si>
  <si>
    <t xml:space="preserve">Khu Thủ Đức cũ</t>
  </si>
  <si>
    <t xml:space="preserve">Quận 2 (cũ)</t>
  </si>
  <si>
    <t xml:space="preserve">Người dùng vẫn tìm “quận 2”; có thể gộp vào trang Thủ Đức nếu ít dữ liệu</t>
  </si>
  <si>
    <t xml:space="preserve">Quận 9 (cũ)</t>
  </si>
  <si>
    <t xml:space="preserve">Người dùng vẫn tìm “quận 9”; có thể gộp vào trang Thủ Đức nếu ít dữ liệu</t>
  </si>
  <si>
    <t xml:space="preserve">Bình Chánh</t>
  </si>
  <si>
    <t xml:space="preserve">Huyện</t>
  </si>
  <si>
    <t xml:space="preserve">Cần Giờ</t>
  </si>
  <si>
    <t xml:space="preserve">Củ Chi</t>
  </si>
  <si>
    <t xml:space="preserve">Hóc Môn</t>
  </si>
  <si>
    <t xml:space="preserve">Nhà Bè</t>
  </si>
  <si>
    <t xml:space="preserve">Khác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</si>
</sst>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7" t="s">
        <v>9</v>
      </c>
      <c r="B8" s="5" t="s">
        <v>10</v>
      </c>
    </row>
    <row r="9" customFormat="false" ht="15" hidden="false" customHeight="false" outlineLevel="0" collapsed="false">
      <c r="A9" s="7" t="s">
        <v>11</v>
      </c>
      <c r="B9" s="5" t="s">
        <v>12</v>
      </c>
    </row>
    <row r="10" customFormat="false" ht="15" hidden="false" customHeight="false" outlineLevel="0" collapsed="false">
      <c r="A10" s="7" t="s">
        <v>13</v>
      </c>
      <c r="B10" s="5" t="s">
        <v>14</v>
      </c>
    </row>
    <row r="11" customFormat="false" ht="15" hidden="false" customHeight="false" outlineLevel="0" collapsed="false">
      <c r="A11" s="7" t="s">
        <v>15</v>
      </c>
      <c r="B11" s="5" t="s">
        <v>16</v>
      </c>
    </row>
    <row r="12" customFormat="false" ht="15" hidden="false" customHeight="false" outlineLevel="0" collapsed="false">
      <c r="A12" s="7" t="s">
        <v>17</v>
      </c>
      <c r="B12" s="5" t="s">
        <v>18</v>
      </c>
    </row>
    <row r="13" customFormat="false" ht="15" hidden="false" customHeight="false" outlineLevel="0" collapsed="false">
      <c r="A13" s="7" t="s">
        <v>19</v>
      </c>
      <c r="B13" s="5" t="s">
        <v>20</v>
      </c>
    </row>
    <row r="14" customFormat="false" ht="15" hidden="false" customHeight="false" outlineLevel="0" collapsed="false">
      <c r="A14" s="7" t="s">
        <v>21</v>
      </c>
      <c r="B14" s="5" t="s">
        <v>22</v>
      </c>
    </row>
    <row r="16" customFormat="false" ht="15" hidden="false" customHeight="false" outlineLevel="0" collapsed="false">
      <c r="A16" s="3" t="s">
        <v>23</v>
      </c>
    </row>
    <row r="17" customFormat="false" ht="15" hidden="false" customHeight="false" outlineLevel="0" collapsed="false">
      <c r="A17" s="8" t="s">
        <v>24</v>
      </c>
      <c r="B17" s="6" t="str">
        <f aca="false">SUMPRODUCT(('Khu vực'!F5:F30&lt;&gt;"")*('Khu vực'!G5:G30&lt;&gt;""))&amp;" / "&amp;COUNTA('Khu vực'!B5:B30)</f>
        <v>0 / 24</v>
      </c>
    </row>
    <row r="18" customFormat="false" ht="15" hidden="false" customHeight="false" outlineLevel="0" collapsed="false">
      <c r="A18" s="8" t="s">
        <v>25</v>
      </c>
      <c r="B18" s="6" t="n">
        <f aca="false">COUNTIF('Khu vực'!E5:E30,"Có")</f>
        <v>0</v>
      </c>
    </row>
    <row r="19" customFormat="false" ht="15" hidden="false" customHeight="false" outlineLevel="0" collapsed="false">
      <c r="A19" s="8" t="s">
        <v>26</v>
      </c>
      <c r="B19" s="6" t="n">
        <f aca="false">COUNTA('Khu vực'!Q5:Q30)</f>
        <v>0</v>
      </c>
    </row>
    <row r="20" customFormat="false" ht="15" hidden="false" customHeight="false" outlineLevel="0" collapsed="false">
      <c r="A20" s="8" t="s">
        <v>27</v>
      </c>
      <c r="B20" s="6" t="str">
        <f aca="false">COUNTIF('Dịch vụ &amp; giá'!E5:E40,"Có")&amp;" / "&amp;COUNTA('Dịch vụ &amp; giá'!C5:C40)</f>
        <v>0 / 26</v>
      </c>
    </row>
    <row r="21" customFormat="false" ht="15" hidden="false" customHeight="false" outlineLevel="0" collapsed="false">
      <c r="A21" s="8" t="s">
        <v>28</v>
      </c>
      <c r="B21" s="6" t="str">
        <f aca="false">COUNTA('Thông tin chung'!C4:C30)&amp;" / "&amp;COUNTA('Thông tin chung'!B4:B30)</f>
        <v>6 / 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42" hidden="false" customHeight="true" outlineLevel="0" collapsed="false">
      <c r="A3" s="9" t="s">
        <v>31</v>
      </c>
      <c r="B3" s="9" t="s">
        <v>32</v>
      </c>
      <c r="C3" s="9" t="s">
        <v>33</v>
      </c>
      <c r="D3" s="9" t="s">
        <v>34</v>
      </c>
    </row>
    <row r="4" customFormat="false" ht="15" hidden="false" customHeight="false" outlineLevel="0" collapsed="false">
      <c r="A4" s="10" t="n">
        <v>1</v>
      </c>
      <c r="B4" s="11" t="s">
        <v>35</v>
      </c>
      <c r="C4" s="12" t="s">
        <v>36</v>
      </c>
      <c r="D4" s="13" t="s">
        <v>37</v>
      </c>
    </row>
    <row r="5" customFormat="false" ht="15" hidden="false" customHeight="false" outlineLevel="0" collapsed="false">
      <c r="A5" s="10" t="n">
        <v>2</v>
      </c>
      <c r="B5" s="10" t="s">
        <v>38</v>
      </c>
      <c r="C5" s="14"/>
      <c r="D5" s="13"/>
    </row>
    <row r="6" customFormat="false" ht="15" hidden="false" customHeight="false" outlineLevel="0" collapsed="false">
      <c r="A6" s="10" t="n">
        <v>3</v>
      </c>
      <c r="B6" s="10" t="s">
        <v>39</v>
      </c>
      <c r="C6" s="14"/>
      <c r="D6" s="13"/>
    </row>
    <row r="7" customFormat="false" ht="15" hidden="false" customHeight="false" outlineLevel="0" collapsed="false">
      <c r="A7" s="10" t="n">
        <v>4</v>
      </c>
      <c r="B7" s="11" t="s">
        <v>40</v>
      </c>
      <c r="C7" s="15" t="s">
        <v>41</v>
      </c>
      <c r="D7" s="13" t="s">
        <v>42</v>
      </c>
    </row>
    <row r="8" customFormat="false" ht="15" hidden="false" customHeight="false" outlineLevel="0" collapsed="false">
      <c r="A8" s="10" t="n">
        <v>5</v>
      </c>
      <c r="B8" s="11" t="s">
        <v>43</v>
      </c>
      <c r="C8" s="12" t="s">
        <v>44</v>
      </c>
      <c r="D8" s="13" t="s">
        <v>37</v>
      </c>
    </row>
    <row r="9" customFormat="false" ht="15" hidden="false" customHeight="false" outlineLevel="0" collapsed="false">
      <c r="A9" s="10" t="n">
        <v>6</v>
      </c>
      <c r="B9" s="10" t="s">
        <v>45</v>
      </c>
      <c r="C9" s="14"/>
      <c r="D9" s="13"/>
    </row>
    <row r="10" customFormat="false" ht="15" hidden="false" customHeight="false" outlineLevel="0" collapsed="false">
      <c r="A10" s="10" t="n">
        <v>7</v>
      </c>
      <c r="B10" s="11" t="s">
        <v>46</v>
      </c>
      <c r="C10" s="12" t="s">
        <v>47</v>
      </c>
      <c r="D10" s="13" t="s">
        <v>48</v>
      </c>
    </row>
    <row r="11" customFormat="false" ht="15" hidden="false" customHeight="false" outlineLevel="0" collapsed="false">
      <c r="A11" s="10" t="n">
        <v>8</v>
      </c>
      <c r="B11" s="10" t="s">
        <v>49</v>
      </c>
      <c r="C11" s="14"/>
      <c r="D11" s="13"/>
    </row>
    <row r="12" customFormat="false" ht="15" hidden="false" customHeight="false" outlineLevel="0" collapsed="false">
      <c r="A12" s="10" t="n">
        <v>9</v>
      </c>
      <c r="B12" s="11" t="s">
        <v>50</v>
      </c>
      <c r="C12" s="12" t="s">
        <v>51</v>
      </c>
      <c r="D12" s="13" t="s">
        <v>37</v>
      </c>
    </row>
    <row r="13" customFormat="false" ht="23.85" hidden="false" customHeight="false" outlineLevel="0" collapsed="false">
      <c r="A13" s="10" t="n">
        <v>10</v>
      </c>
      <c r="B13" s="11" t="s">
        <v>52</v>
      </c>
      <c r="C13" s="14"/>
      <c r="D13" s="13" t="s">
        <v>53</v>
      </c>
    </row>
    <row r="14" customFormat="false" ht="15" hidden="false" customHeight="false" outlineLevel="0" collapsed="false">
      <c r="A14" s="10" t="n">
        <v>11</v>
      </c>
      <c r="B14" s="10" t="s">
        <v>54</v>
      </c>
      <c r="C14" s="14"/>
      <c r="D14" s="13"/>
    </row>
    <row r="15" customFormat="false" ht="15" hidden="false" customHeight="false" outlineLevel="0" collapsed="false">
      <c r="A15" s="10" t="n">
        <v>12</v>
      </c>
      <c r="B15" s="10" t="s">
        <v>55</v>
      </c>
      <c r="C15" s="14"/>
      <c r="D15" s="13" t="s">
        <v>56</v>
      </c>
    </row>
    <row r="16" customFormat="false" ht="15" hidden="false" customHeight="false" outlineLevel="0" collapsed="false">
      <c r="A16" s="10" t="n">
        <v>13</v>
      </c>
      <c r="B16" s="10" t="s">
        <v>57</v>
      </c>
      <c r="C16" s="14"/>
      <c r="D16" s="13"/>
    </row>
    <row r="17" customFormat="false" ht="15" hidden="false" customHeight="false" outlineLevel="0" collapsed="false">
      <c r="A17" s="10" t="n">
        <v>14</v>
      </c>
      <c r="B17" s="10" t="s">
        <v>58</v>
      </c>
      <c r="C17" s="14"/>
      <c r="D17" s="13" t="s">
        <v>59</v>
      </c>
    </row>
    <row r="18" customFormat="false" ht="15" hidden="false" customHeight="false" outlineLevel="0" collapsed="false">
      <c r="A18" s="10" t="n">
        <v>15</v>
      </c>
      <c r="B18" s="11" t="s">
        <v>60</v>
      </c>
      <c r="C18" s="14"/>
      <c r="D18" s="13"/>
    </row>
    <row r="19" customFormat="false" ht="23.85" hidden="false" customHeight="false" outlineLevel="0" collapsed="false">
      <c r="A19" s="10" t="n">
        <v>16</v>
      </c>
      <c r="B19" s="11" t="s">
        <v>61</v>
      </c>
      <c r="C19" s="12" t="s">
        <v>62</v>
      </c>
      <c r="D19" s="13" t="s">
        <v>63</v>
      </c>
    </row>
    <row r="20" customFormat="false" ht="15" hidden="false" customHeight="false" outlineLevel="0" collapsed="false">
      <c r="A20" s="10" t="n">
        <v>17</v>
      </c>
      <c r="B20" s="10" t="s">
        <v>64</v>
      </c>
      <c r="C20" s="14"/>
      <c r="D20" s="13"/>
    </row>
    <row r="21" customFormat="false" ht="15" hidden="false" customHeight="false" outlineLevel="0" collapsed="false">
      <c r="A21" s="10" t="n">
        <v>18</v>
      </c>
      <c r="B21" s="10" t="s">
        <v>65</v>
      </c>
      <c r="C21" s="14"/>
      <c r="D21" s="13"/>
    </row>
    <row r="22" customFormat="false" ht="15" hidden="false" customHeight="false" outlineLevel="0" collapsed="false">
      <c r="A22" s="10" t="n">
        <v>19</v>
      </c>
      <c r="B22" s="10" t="s">
        <v>66</v>
      </c>
      <c r="C22" s="14"/>
      <c r="D22" s="13"/>
    </row>
    <row r="23" customFormat="false" ht="15" hidden="false" customHeight="false" outlineLevel="0" collapsed="false">
      <c r="A23" s="10" t="n">
        <v>20</v>
      </c>
      <c r="B23" s="10" t="s">
        <v>67</v>
      </c>
      <c r="C23" s="14"/>
      <c r="D23" s="13"/>
    </row>
    <row r="24" customFormat="false" ht="15" hidden="false" customHeight="false" outlineLevel="0" collapsed="false">
      <c r="A24" s="10" t="n">
        <v>21</v>
      </c>
      <c r="B24" s="11" t="s">
        <v>68</v>
      </c>
      <c r="C24" s="14"/>
      <c r="D24" s="13" t="s">
        <v>69</v>
      </c>
    </row>
    <row r="25" customFormat="false" ht="15" hidden="false" customHeight="false" outlineLevel="0" collapsed="false">
      <c r="A25" s="10" t="n">
        <v>22</v>
      </c>
      <c r="B25" s="10" t="s">
        <v>70</v>
      </c>
      <c r="C25" s="14"/>
      <c r="D25" s="13"/>
    </row>
    <row r="26" customFormat="false" ht="23.85" hidden="false" customHeight="false" outlineLevel="0" collapsed="false">
      <c r="A26" s="10" t="n">
        <v>23</v>
      </c>
      <c r="B26" s="10" t="s">
        <v>71</v>
      </c>
      <c r="C26" s="14"/>
      <c r="D26" s="13" t="s">
        <v>72</v>
      </c>
    </row>
    <row r="27" customFormat="false" ht="15" hidden="false" customHeight="false" outlineLevel="0" collapsed="false">
      <c r="A27" s="10" t="n">
        <v>24</v>
      </c>
      <c r="B27" s="10" t="s">
        <v>73</v>
      </c>
      <c r="C27" s="14"/>
      <c r="D27" s="13"/>
    </row>
    <row r="28" customFormat="false" ht="15" hidden="false" customHeight="false" outlineLevel="0" collapsed="false">
      <c r="A28" s="10" t="n">
        <v>25</v>
      </c>
      <c r="B28" s="10" t="s">
        <v>74</v>
      </c>
      <c r="C28" s="14"/>
      <c r="D2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3" min="12" style="0" width="3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3" customFormat="false" ht="42" hidden="false" customHeight="true" outlineLevel="0" collapsed="false">
      <c r="A3" s="9" t="s">
        <v>31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  <c r="H3" s="9" t="s">
        <v>83</v>
      </c>
      <c r="I3" s="9" t="s">
        <v>84</v>
      </c>
      <c r="J3" s="9" t="s">
        <v>85</v>
      </c>
      <c r="K3" s="9" t="s">
        <v>86</v>
      </c>
      <c r="L3" s="9" t="s">
        <v>87</v>
      </c>
      <c r="M3" s="9" t="s">
        <v>88</v>
      </c>
      <c r="N3" s="9" t="s">
        <v>34</v>
      </c>
    </row>
    <row r="4" customFormat="false" ht="23.85" hidden="false" customHeight="false" outlineLevel="0" collapsed="false">
      <c r="A4" s="16" t="s">
        <v>89</v>
      </c>
      <c r="B4" s="16" t="s">
        <v>90</v>
      </c>
      <c r="C4" s="16" t="s">
        <v>91</v>
      </c>
      <c r="D4" s="16"/>
      <c r="E4" s="16" t="s">
        <v>92</v>
      </c>
      <c r="F4" s="17" t="n">
        <v>300000</v>
      </c>
      <c r="G4" s="17" t="n">
        <v>600000</v>
      </c>
      <c r="H4" s="16" t="s">
        <v>93</v>
      </c>
      <c r="I4" s="16" t="s">
        <v>94</v>
      </c>
      <c r="J4" s="16" t="s">
        <v>95</v>
      </c>
      <c r="K4" s="16" t="s">
        <v>96</v>
      </c>
      <c r="L4" s="16" t="s">
        <v>97</v>
      </c>
      <c r="M4" s="16" t="s">
        <v>98</v>
      </c>
      <c r="N4" s="16"/>
    </row>
    <row r="5" customFormat="false" ht="15" hidden="false" customHeight="false" outlineLevel="0" collapsed="false">
      <c r="A5" s="10" t="n">
        <v>1</v>
      </c>
      <c r="B5" s="12" t="s">
        <v>90</v>
      </c>
      <c r="C5" s="12" t="s">
        <v>99</v>
      </c>
      <c r="D5" s="12" t="s">
        <v>100</v>
      </c>
      <c r="E5" s="14"/>
      <c r="F5" s="18"/>
      <c r="G5" s="18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A6" s="10" t="n">
        <v>2</v>
      </c>
      <c r="B6" s="12" t="s">
        <v>90</v>
      </c>
      <c r="C6" s="12" t="s">
        <v>101</v>
      </c>
      <c r="D6" s="12" t="s">
        <v>102</v>
      </c>
      <c r="E6" s="14"/>
      <c r="F6" s="18"/>
      <c r="G6" s="18"/>
      <c r="H6" s="14"/>
      <c r="I6" s="14"/>
      <c r="J6" s="14"/>
      <c r="K6" s="14"/>
      <c r="L6" s="14"/>
      <c r="M6" s="14"/>
      <c r="N6" s="14"/>
    </row>
    <row r="7" customFormat="false" ht="15" hidden="false" customHeight="false" outlineLevel="0" collapsed="false">
      <c r="A7" s="10" t="n">
        <v>3</v>
      </c>
      <c r="B7" s="12" t="s">
        <v>90</v>
      </c>
      <c r="C7" s="12" t="s">
        <v>103</v>
      </c>
      <c r="D7" s="12" t="s">
        <v>104</v>
      </c>
      <c r="E7" s="14"/>
      <c r="F7" s="18"/>
      <c r="G7" s="18"/>
      <c r="H7" s="14"/>
      <c r="I7" s="14"/>
      <c r="J7" s="14"/>
      <c r="K7" s="14"/>
      <c r="L7" s="14"/>
      <c r="M7" s="14"/>
      <c r="N7" s="14"/>
    </row>
    <row r="8" customFormat="false" ht="15" hidden="false" customHeight="false" outlineLevel="0" collapsed="false">
      <c r="A8" s="10" t="n">
        <v>4</v>
      </c>
      <c r="B8" s="12" t="s">
        <v>90</v>
      </c>
      <c r="C8" s="12" t="s">
        <v>105</v>
      </c>
      <c r="D8" s="12" t="s">
        <v>106</v>
      </c>
      <c r="E8" s="14"/>
      <c r="F8" s="18"/>
      <c r="G8" s="18"/>
      <c r="H8" s="14"/>
      <c r="I8" s="14"/>
      <c r="J8" s="14"/>
      <c r="K8" s="14"/>
      <c r="L8" s="14"/>
      <c r="M8" s="14"/>
      <c r="N8" s="14"/>
    </row>
    <row r="9" customFormat="false" ht="15" hidden="false" customHeight="false" outlineLevel="0" collapsed="false">
      <c r="A9" s="10" t="n">
        <v>5</v>
      </c>
      <c r="B9" s="12" t="s">
        <v>90</v>
      </c>
      <c r="C9" s="12" t="s">
        <v>107</v>
      </c>
      <c r="D9" s="12" t="s">
        <v>108</v>
      </c>
      <c r="E9" s="14"/>
      <c r="F9" s="18"/>
      <c r="G9" s="18"/>
      <c r="H9" s="14"/>
      <c r="I9" s="14"/>
      <c r="J9" s="14"/>
      <c r="K9" s="14"/>
      <c r="L9" s="14"/>
      <c r="M9" s="14"/>
      <c r="N9" s="14"/>
    </row>
    <row r="10" customFormat="false" ht="15" hidden="false" customHeight="false" outlineLevel="0" collapsed="false">
      <c r="A10" s="10" t="n">
        <v>6</v>
      </c>
      <c r="B10" s="12" t="s">
        <v>90</v>
      </c>
      <c r="C10" s="12" t="s">
        <v>109</v>
      </c>
      <c r="D10" s="12" t="s">
        <v>110</v>
      </c>
      <c r="E10" s="14"/>
      <c r="F10" s="18"/>
      <c r="G10" s="18"/>
      <c r="H10" s="14"/>
      <c r="I10" s="14"/>
      <c r="J10" s="14"/>
      <c r="K10" s="14"/>
      <c r="L10" s="14"/>
      <c r="M10" s="14"/>
      <c r="N10" s="14"/>
    </row>
    <row r="11" customFormat="false" ht="15" hidden="false" customHeight="false" outlineLevel="0" collapsed="false">
      <c r="A11" s="10" t="n">
        <v>7</v>
      </c>
      <c r="B11" s="12" t="s">
        <v>90</v>
      </c>
      <c r="C11" s="12" t="s">
        <v>111</v>
      </c>
      <c r="D11" s="12" t="s">
        <v>112</v>
      </c>
      <c r="E11" s="14"/>
      <c r="F11" s="18"/>
      <c r="G11" s="18"/>
      <c r="H11" s="14"/>
      <c r="I11" s="14"/>
      <c r="J11" s="14"/>
      <c r="K11" s="14"/>
      <c r="L11" s="14"/>
      <c r="M11" s="14"/>
      <c r="N11" s="14"/>
    </row>
    <row r="12" customFormat="false" ht="15" hidden="false" customHeight="false" outlineLevel="0" collapsed="false">
      <c r="A12" s="10" t="n">
        <v>8</v>
      </c>
      <c r="B12" s="12" t="s">
        <v>90</v>
      </c>
      <c r="C12" s="12" t="s">
        <v>113</v>
      </c>
      <c r="D12" s="12" t="s">
        <v>114</v>
      </c>
      <c r="E12" s="14"/>
      <c r="F12" s="18"/>
      <c r="G12" s="18"/>
      <c r="H12" s="14"/>
      <c r="I12" s="14"/>
      <c r="J12" s="14"/>
      <c r="K12" s="14"/>
      <c r="L12" s="14"/>
      <c r="M12" s="14"/>
      <c r="N12" s="14"/>
    </row>
    <row r="13" customFormat="false" ht="23.85" hidden="false" customHeight="false" outlineLevel="0" collapsed="false">
      <c r="A13" s="10" t="n">
        <v>9</v>
      </c>
      <c r="B13" s="12" t="s">
        <v>90</v>
      </c>
      <c r="C13" s="12" t="s">
        <v>115</v>
      </c>
      <c r="D13" s="12" t="s">
        <v>116</v>
      </c>
      <c r="E13" s="14"/>
      <c r="F13" s="18"/>
      <c r="G13" s="18"/>
      <c r="H13" s="14"/>
      <c r="I13" s="14"/>
      <c r="J13" s="14"/>
      <c r="K13" s="14"/>
      <c r="L13" s="14"/>
      <c r="M13" s="14"/>
      <c r="N13" s="14"/>
    </row>
    <row r="14" customFormat="false" ht="15" hidden="false" customHeight="false" outlineLevel="0" collapsed="false">
      <c r="A14" s="10" t="n">
        <v>10</v>
      </c>
      <c r="B14" s="12" t="s">
        <v>90</v>
      </c>
      <c r="C14" s="12" t="s">
        <v>117</v>
      </c>
      <c r="D14" s="12" t="s">
        <v>116</v>
      </c>
      <c r="E14" s="14"/>
      <c r="F14" s="18"/>
      <c r="G14" s="18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A15" s="10" t="n">
        <v>11</v>
      </c>
      <c r="B15" s="12" t="s">
        <v>90</v>
      </c>
      <c r="C15" s="12" t="s">
        <v>118</v>
      </c>
      <c r="D15" s="12" t="s">
        <v>116</v>
      </c>
      <c r="E15" s="14"/>
      <c r="F15" s="18"/>
      <c r="G15" s="18"/>
      <c r="H15" s="14"/>
      <c r="I15" s="14"/>
      <c r="J15" s="14"/>
      <c r="K15" s="14"/>
      <c r="L15" s="14"/>
      <c r="M15" s="14"/>
      <c r="N15" s="14"/>
    </row>
    <row r="16" customFormat="false" ht="15" hidden="false" customHeight="false" outlineLevel="0" collapsed="false">
      <c r="A16" s="10" t="n">
        <v>12</v>
      </c>
      <c r="B16" s="12" t="s">
        <v>90</v>
      </c>
      <c r="C16" s="12" t="s">
        <v>119</v>
      </c>
      <c r="D16" s="12" t="s">
        <v>116</v>
      </c>
      <c r="E16" s="14"/>
      <c r="F16" s="18"/>
      <c r="G16" s="18"/>
      <c r="H16" s="14"/>
      <c r="I16" s="14"/>
      <c r="J16" s="14"/>
      <c r="K16" s="14"/>
      <c r="L16" s="14"/>
      <c r="M16" s="14"/>
      <c r="N16" s="14"/>
    </row>
    <row r="17" customFormat="false" ht="15" hidden="false" customHeight="false" outlineLevel="0" collapsed="false">
      <c r="A17" s="10" t="n">
        <v>13</v>
      </c>
      <c r="B17" s="12" t="s">
        <v>90</v>
      </c>
      <c r="C17" s="12" t="s">
        <v>120</v>
      </c>
      <c r="D17" s="12" t="s">
        <v>116</v>
      </c>
      <c r="E17" s="14"/>
      <c r="F17" s="18"/>
      <c r="G17" s="18"/>
      <c r="H17" s="14"/>
      <c r="I17" s="14"/>
      <c r="J17" s="14"/>
      <c r="K17" s="14"/>
      <c r="L17" s="14"/>
      <c r="M17" s="14"/>
      <c r="N17" s="14"/>
    </row>
    <row r="18" customFormat="false" ht="15" hidden="false" customHeight="false" outlineLevel="0" collapsed="false">
      <c r="A18" s="10" t="n">
        <v>14</v>
      </c>
      <c r="B18" s="12" t="s">
        <v>121</v>
      </c>
      <c r="C18" s="12" t="s">
        <v>122</v>
      </c>
      <c r="D18" s="12" t="s">
        <v>123</v>
      </c>
      <c r="E18" s="14"/>
      <c r="F18" s="18"/>
      <c r="G18" s="18"/>
      <c r="H18" s="14"/>
      <c r="I18" s="14"/>
      <c r="J18" s="14"/>
      <c r="K18" s="14"/>
      <c r="L18" s="14"/>
      <c r="M18" s="14"/>
      <c r="N18" s="14"/>
    </row>
    <row r="19" customFormat="false" ht="15" hidden="false" customHeight="false" outlineLevel="0" collapsed="false">
      <c r="A19" s="10" t="n">
        <v>15</v>
      </c>
      <c r="B19" s="12" t="s">
        <v>121</v>
      </c>
      <c r="C19" s="12" t="s">
        <v>124</v>
      </c>
      <c r="D19" s="12" t="s">
        <v>125</v>
      </c>
      <c r="E19" s="14"/>
      <c r="F19" s="18"/>
      <c r="G19" s="18"/>
      <c r="H19" s="14"/>
      <c r="I19" s="14"/>
      <c r="J19" s="14"/>
      <c r="K19" s="14"/>
      <c r="L19" s="14"/>
      <c r="M19" s="14"/>
      <c r="N19" s="14"/>
    </row>
    <row r="20" customFormat="false" ht="15" hidden="false" customHeight="false" outlineLevel="0" collapsed="false">
      <c r="A20" s="10" t="n">
        <v>16</v>
      </c>
      <c r="B20" s="12" t="s">
        <v>121</v>
      </c>
      <c r="C20" s="12" t="s">
        <v>126</v>
      </c>
      <c r="D20" s="12" t="s">
        <v>127</v>
      </c>
      <c r="E20" s="14"/>
      <c r="F20" s="18"/>
      <c r="G20" s="18"/>
      <c r="H20" s="14"/>
      <c r="I20" s="14"/>
      <c r="J20" s="14"/>
      <c r="K20" s="14"/>
      <c r="L20" s="14"/>
      <c r="M20" s="14"/>
      <c r="N20" s="14"/>
    </row>
    <row r="21" customFormat="false" ht="15" hidden="false" customHeight="false" outlineLevel="0" collapsed="false">
      <c r="A21" s="10" t="n">
        <v>17</v>
      </c>
      <c r="B21" s="12" t="s">
        <v>121</v>
      </c>
      <c r="C21" s="12" t="s">
        <v>128</v>
      </c>
      <c r="D21" s="12" t="s">
        <v>129</v>
      </c>
      <c r="E21" s="14"/>
      <c r="F21" s="18"/>
      <c r="G21" s="18"/>
      <c r="H21" s="14"/>
      <c r="I21" s="14"/>
      <c r="J21" s="14"/>
      <c r="K21" s="14"/>
      <c r="L21" s="14"/>
      <c r="M21" s="14"/>
      <c r="N21" s="14"/>
    </row>
    <row r="22" customFormat="false" ht="15" hidden="false" customHeight="false" outlineLevel="0" collapsed="false">
      <c r="A22" s="10" t="n">
        <v>18</v>
      </c>
      <c r="B22" s="12" t="s">
        <v>121</v>
      </c>
      <c r="C22" s="12" t="s">
        <v>130</v>
      </c>
      <c r="D22" s="12" t="s">
        <v>131</v>
      </c>
      <c r="E22" s="14"/>
      <c r="F22" s="18"/>
      <c r="G22" s="18"/>
      <c r="H22" s="14"/>
      <c r="I22" s="14"/>
      <c r="J22" s="14"/>
      <c r="K22" s="14"/>
      <c r="L22" s="14"/>
      <c r="M22" s="14"/>
      <c r="N22" s="14"/>
    </row>
    <row r="23" customFormat="false" ht="15" hidden="false" customHeight="false" outlineLevel="0" collapsed="false">
      <c r="A23" s="10" t="n">
        <v>19</v>
      </c>
      <c r="B23" s="12" t="s">
        <v>121</v>
      </c>
      <c r="C23" s="12" t="s">
        <v>132</v>
      </c>
      <c r="D23" s="12" t="s">
        <v>133</v>
      </c>
      <c r="E23" s="14"/>
      <c r="F23" s="18"/>
      <c r="G23" s="18"/>
      <c r="H23" s="14"/>
      <c r="I23" s="14"/>
      <c r="J23" s="14"/>
      <c r="K23" s="14"/>
      <c r="L23" s="14"/>
      <c r="M23" s="14"/>
      <c r="N23" s="14"/>
    </row>
    <row r="24" customFormat="false" ht="15" hidden="false" customHeight="false" outlineLevel="0" collapsed="false">
      <c r="A24" s="10" t="n">
        <v>20</v>
      </c>
      <c r="B24" s="12" t="s">
        <v>121</v>
      </c>
      <c r="C24" s="12" t="s">
        <v>134</v>
      </c>
      <c r="D24" s="12" t="s">
        <v>135</v>
      </c>
      <c r="E24" s="14"/>
      <c r="F24" s="18"/>
      <c r="G24" s="18"/>
      <c r="H24" s="14"/>
      <c r="I24" s="14"/>
      <c r="J24" s="14"/>
      <c r="K24" s="14"/>
      <c r="L24" s="14"/>
      <c r="M24" s="14"/>
      <c r="N24" s="14"/>
    </row>
    <row r="25" customFormat="false" ht="15" hidden="false" customHeight="false" outlineLevel="0" collapsed="false">
      <c r="A25" s="10" t="n">
        <v>21</v>
      </c>
      <c r="B25" s="12" t="s">
        <v>121</v>
      </c>
      <c r="C25" s="12" t="s">
        <v>136</v>
      </c>
      <c r="D25" s="12" t="s">
        <v>137</v>
      </c>
      <c r="E25" s="14"/>
      <c r="F25" s="18"/>
      <c r="G25" s="18"/>
      <c r="H25" s="14"/>
      <c r="I25" s="14"/>
      <c r="J25" s="14"/>
      <c r="K25" s="14"/>
      <c r="L25" s="14"/>
      <c r="M25" s="14"/>
      <c r="N25" s="14"/>
    </row>
    <row r="26" customFormat="false" ht="15" hidden="false" customHeight="false" outlineLevel="0" collapsed="false">
      <c r="A26" s="10" t="n">
        <v>22</v>
      </c>
      <c r="B26" s="12" t="s">
        <v>121</v>
      </c>
      <c r="C26" s="12" t="s">
        <v>138</v>
      </c>
      <c r="D26" s="12" t="s">
        <v>139</v>
      </c>
      <c r="E26" s="14"/>
      <c r="F26" s="18"/>
      <c r="G26" s="18"/>
      <c r="H26" s="14"/>
      <c r="I26" s="14"/>
      <c r="J26" s="14"/>
      <c r="K26" s="14"/>
      <c r="L26" s="14"/>
      <c r="M26" s="14"/>
      <c r="N26" s="14"/>
    </row>
    <row r="27" customFormat="false" ht="15" hidden="false" customHeight="false" outlineLevel="0" collapsed="false">
      <c r="A27" s="10" t="n">
        <v>23</v>
      </c>
      <c r="B27" s="12" t="s">
        <v>121</v>
      </c>
      <c r="C27" s="12" t="s">
        <v>140</v>
      </c>
      <c r="D27" s="12" t="s">
        <v>141</v>
      </c>
      <c r="E27" s="14"/>
      <c r="F27" s="18"/>
      <c r="G27" s="18"/>
      <c r="H27" s="14"/>
      <c r="I27" s="14"/>
      <c r="J27" s="14"/>
      <c r="K27" s="14"/>
      <c r="L27" s="14"/>
      <c r="M27" s="14"/>
      <c r="N27" s="14"/>
    </row>
    <row r="28" customFormat="false" ht="15" hidden="false" customHeight="false" outlineLevel="0" collapsed="false">
      <c r="A28" s="10" t="n">
        <v>24</v>
      </c>
      <c r="B28" s="12" t="s">
        <v>121</v>
      </c>
      <c r="C28" s="12" t="s">
        <v>142</v>
      </c>
      <c r="D28" s="12" t="s">
        <v>143</v>
      </c>
      <c r="E28" s="14"/>
      <c r="F28" s="18"/>
      <c r="G28" s="18"/>
      <c r="H28" s="14"/>
      <c r="I28" s="14"/>
      <c r="J28" s="14"/>
      <c r="K28" s="14"/>
      <c r="L28" s="14"/>
      <c r="M28" s="14"/>
      <c r="N28" s="14"/>
    </row>
    <row r="29" customFormat="false" ht="15" hidden="false" customHeight="false" outlineLevel="0" collapsed="false">
      <c r="A29" s="10" t="n">
        <v>25</v>
      </c>
      <c r="B29" s="12" t="s">
        <v>121</v>
      </c>
      <c r="C29" s="12" t="s">
        <v>144</v>
      </c>
      <c r="D29" s="12" t="s">
        <v>145</v>
      </c>
      <c r="E29" s="14"/>
      <c r="F29" s="18"/>
      <c r="G29" s="18"/>
      <c r="H29" s="14"/>
      <c r="I29" s="14"/>
      <c r="J29" s="14"/>
      <c r="K29" s="14"/>
      <c r="L29" s="14"/>
      <c r="M29" s="14"/>
      <c r="N29" s="14"/>
    </row>
    <row r="30" customFormat="false" ht="15" hidden="false" customHeight="false" outlineLevel="0" collapsed="false">
      <c r="A30" s="10" t="n">
        <v>26</v>
      </c>
      <c r="B30" s="12" t="s">
        <v>121</v>
      </c>
      <c r="C30" s="12" t="s">
        <v>146</v>
      </c>
      <c r="D30" s="12" t="s">
        <v>147</v>
      </c>
      <c r="E30" s="14"/>
      <c r="F30" s="18"/>
      <c r="G30" s="18"/>
      <c r="H30" s="14"/>
      <c r="I30" s="14"/>
      <c r="J30" s="14"/>
      <c r="K30" s="14"/>
      <c r="L30" s="14"/>
      <c r="M30" s="14"/>
      <c r="N30" s="14"/>
    </row>
    <row r="31" customFormat="false" ht="15" hidden="false" customHeight="false" outlineLevel="0" collapsed="false">
      <c r="A31" s="10" t="n">
        <v>27</v>
      </c>
      <c r="B31" s="14"/>
      <c r="C31" s="14"/>
      <c r="D31" s="14"/>
      <c r="E31" s="14"/>
      <c r="F31" s="18"/>
      <c r="G31" s="18"/>
      <c r="H31" s="14"/>
      <c r="I31" s="14"/>
      <c r="J31" s="14"/>
      <c r="K31" s="14"/>
      <c r="L31" s="14"/>
      <c r="M31" s="14"/>
      <c r="N31" s="14"/>
    </row>
    <row r="32" customFormat="false" ht="15" hidden="false" customHeight="false" outlineLevel="0" collapsed="false">
      <c r="A32" s="10" t="n">
        <v>28</v>
      </c>
      <c r="B32" s="14"/>
      <c r="C32" s="14"/>
      <c r="D32" s="14"/>
      <c r="E32" s="14"/>
      <c r="F32" s="18"/>
      <c r="G32" s="18"/>
      <c r="H32" s="14"/>
      <c r="I32" s="14"/>
      <c r="J32" s="14"/>
      <c r="K32" s="14"/>
      <c r="L32" s="14"/>
      <c r="M32" s="14"/>
      <c r="N32" s="14"/>
    </row>
    <row r="33" customFormat="false" ht="15" hidden="false" customHeight="false" outlineLevel="0" collapsed="false">
      <c r="A33" s="10" t="n">
        <v>29</v>
      </c>
      <c r="B33" s="14"/>
      <c r="C33" s="14"/>
      <c r="D33" s="14"/>
      <c r="E33" s="14"/>
      <c r="F33" s="18"/>
      <c r="G33" s="18"/>
      <c r="H33" s="14"/>
      <c r="I33" s="14"/>
      <c r="J33" s="14"/>
      <c r="K33" s="14"/>
      <c r="L33" s="14"/>
      <c r="M33" s="14"/>
      <c r="N33" s="14"/>
    </row>
  </sheetData>
  <dataValidations count="2">
    <dataValidation allowBlank="true" errorStyle="stop" operator="between" showDropDown="false" showErrorMessage="false" showInputMessage="false" sqref="E5:E33" type="list">
      <formula1>"Có,Không"</formula1>
      <formula2>0</formula2>
    </dataValidation>
    <dataValidation allowBlank="true" error="Ghi số, đơn vị đồng (ví dụ 300000)" errorStyle="stop" operator="greaterThanOrEqual" showDropDown="false" showErrorMessage="true" showInputMessage="false" sqref="F5:G3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26"/>
    <col collapsed="false" customWidth="true" hidden="false" outlineLevel="0" max="17" min="17" style="0" width="44"/>
    <col collapsed="false" customWidth="true" hidden="false" outlineLevel="0" max="18" min="18" style="0" width="28"/>
    <col collapsed="false" customWidth="true" hidden="false" outlineLevel="0" max="20" min="19" style="0" width="34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3" customFormat="false" ht="42" hidden="false" customHeight="true" outlineLevel="0" collapsed="false">
      <c r="A3" s="9" t="s">
        <v>31</v>
      </c>
      <c r="B3" s="9" t="s">
        <v>150</v>
      </c>
      <c r="C3" s="9" t="s">
        <v>151</v>
      </c>
      <c r="D3" s="9" t="s">
        <v>152</v>
      </c>
      <c r="E3" s="9" t="s">
        <v>153</v>
      </c>
      <c r="F3" s="9" t="s">
        <v>154</v>
      </c>
      <c r="G3" s="9" t="s">
        <v>155</v>
      </c>
      <c r="H3" s="9" t="s">
        <v>156</v>
      </c>
      <c r="I3" s="9" t="s">
        <v>157</v>
      </c>
      <c r="J3" s="9" t="s">
        <v>158</v>
      </c>
      <c r="K3" s="9" t="s">
        <v>159</v>
      </c>
      <c r="L3" s="9" t="s">
        <v>160</v>
      </c>
      <c r="M3" s="9" t="s">
        <v>161</v>
      </c>
      <c r="N3" s="9" t="s">
        <v>58</v>
      </c>
      <c r="O3" s="9" t="s">
        <v>162</v>
      </c>
      <c r="P3" s="9" t="s">
        <v>163</v>
      </c>
      <c r="Q3" s="9" t="s">
        <v>164</v>
      </c>
      <c r="R3" s="9" t="s">
        <v>165</v>
      </c>
      <c r="S3" s="9" t="s">
        <v>166</v>
      </c>
      <c r="T3" s="9" t="s">
        <v>34</v>
      </c>
    </row>
    <row r="4" customFormat="false" ht="45" hidden="false" customHeight="true" outlineLevel="0" collapsed="false">
      <c r="A4" s="16" t="s">
        <v>89</v>
      </c>
      <c r="B4" s="16" t="s">
        <v>167</v>
      </c>
      <c r="C4" s="16" t="s">
        <v>168</v>
      </c>
      <c r="D4" s="16"/>
      <c r="E4" s="16" t="s">
        <v>92</v>
      </c>
      <c r="F4" s="16" t="s">
        <v>169</v>
      </c>
      <c r="G4" s="16" t="s">
        <v>170</v>
      </c>
      <c r="H4" s="16" t="str">
        <f aca="false">IF(AND(F4&lt;&gt;"",G4&lt;&gt;""),F4&amp;", "&amp;G4&amp;", TP. Hồ Chí Minh","")</f>
        <v>123 Đường Số 7, Phường Bình Trị Đông, TP. Hồ Chí Minh</v>
      </c>
      <c r="I4" s="16" t="s">
        <v>171</v>
      </c>
      <c r="J4" s="16" t="s">
        <v>172</v>
      </c>
      <c r="K4" s="16" t="s">
        <v>92</v>
      </c>
      <c r="L4" s="16"/>
      <c r="M4" s="16"/>
      <c r="N4" s="16" t="n">
        <v>30</v>
      </c>
      <c r="O4" s="16" t="s">
        <v>173</v>
      </c>
      <c r="P4" s="16" t="s">
        <v>174</v>
      </c>
      <c r="Q4" s="16" t="s">
        <v>175</v>
      </c>
      <c r="R4" s="16" t="s">
        <v>176</v>
      </c>
      <c r="S4" s="16" t="s">
        <v>177</v>
      </c>
      <c r="T4" s="16"/>
    </row>
    <row r="5" customFormat="false" ht="45" hidden="false" customHeight="true" outlineLevel="0" collapsed="false">
      <c r="A5" s="10" t="n">
        <v>1</v>
      </c>
      <c r="B5" s="19" t="s">
        <v>178</v>
      </c>
      <c r="C5" s="12" t="s">
        <v>168</v>
      </c>
      <c r="D5" s="12" t="s">
        <v>179</v>
      </c>
      <c r="E5" s="14"/>
      <c r="F5" s="14"/>
      <c r="G5" s="14"/>
      <c r="H5" s="12" t="str">
        <f aca="false">IF(AND(F5&lt;&gt;"",G5&lt;&gt;""),F5&amp;", "&amp;G5&amp;", TP. Hồ Chí Minh","")</f>
        <v/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customFormat="false" ht="45" hidden="false" customHeight="true" outlineLevel="0" collapsed="false">
      <c r="A6" s="10" t="n">
        <v>2</v>
      </c>
      <c r="B6" s="19" t="s">
        <v>180</v>
      </c>
      <c r="C6" s="12" t="s">
        <v>168</v>
      </c>
      <c r="D6" s="12" t="s">
        <v>181</v>
      </c>
      <c r="E6" s="14"/>
      <c r="F6" s="14"/>
      <c r="G6" s="14"/>
      <c r="H6" s="12" t="str">
        <f aca="false">IF(AND(F6&lt;&gt;"",G6&lt;&gt;""),F6&amp;", "&amp;G6&amp;", TP. Hồ Chí Minh","")</f>
        <v/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customFormat="false" ht="45" hidden="false" customHeight="true" outlineLevel="0" collapsed="false">
      <c r="A7" s="10" t="n">
        <v>3</v>
      </c>
      <c r="B7" s="19" t="s">
        <v>182</v>
      </c>
      <c r="C7" s="12" t="s">
        <v>168</v>
      </c>
      <c r="D7" s="12"/>
      <c r="E7" s="14"/>
      <c r="F7" s="14"/>
      <c r="G7" s="14"/>
      <c r="H7" s="12" t="str">
        <f aca="false">IF(AND(F7&lt;&gt;"",G7&lt;&gt;""),F7&amp;", "&amp;G7&amp;", TP. Hồ Chí Minh","")</f>
        <v/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customFormat="false" ht="45" hidden="false" customHeight="true" outlineLevel="0" collapsed="false">
      <c r="A8" s="10" t="n">
        <v>4</v>
      </c>
      <c r="B8" s="19" t="s">
        <v>183</v>
      </c>
      <c r="C8" s="12" t="s">
        <v>168</v>
      </c>
      <c r="D8" s="12"/>
      <c r="E8" s="14"/>
      <c r="F8" s="14"/>
      <c r="G8" s="14"/>
      <c r="H8" s="12" t="str">
        <f aca="false">IF(AND(F8&lt;&gt;"",G8&lt;&gt;""),F8&amp;", "&amp;G8&amp;", TP. Hồ Chí Minh","")</f>
        <v/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customFormat="false" ht="45" hidden="false" customHeight="true" outlineLevel="0" collapsed="false">
      <c r="A9" s="10" t="n">
        <v>5</v>
      </c>
      <c r="B9" s="19" t="s">
        <v>184</v>
      </c>
      <c r="C9" s="12" t="s">
        <v>168</v>
      </c>
      <c r="D9" s="12"/>
      <c r="E9" s="14"/>
      <c r="F9" s="14"/>
      <c r="G9" s="14"/>
      <c r="H9" s="12" t="str">
        <f aca="false">IF(AND(F9&lt;&gt;"",G9&lt;&gt;""),F9&amp;", "&amp;G9&amp;", TP. Hồ Chí Minh","")</f>
        <v/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customFormat="false" ht="45" hidden="false" customHeight="true" outlineLevel="0" collapsed="false">
      <c r="A10" s="10" t="n">
        <v>6</v>
      </c>
      <c r="B10" s="19" t="s">
        <v>185</v>
      </c>
      <c r="C10" s="12" t="s">
        <v>168</v>
      </c>
      <c r="D10" s="12"/>
      <c r="E10" s="14"/>
      <c r="F10" s="14"/>
      <c r="G10" s="14"/>
      <c r="H10" s="12" t="str">
        <f aca="false">IF(AND(F10&lt;&gt;"",G10&lt;&gt;""),F10&amp;", "&amp;G10&amp;", TP. Hồ Chí Minh","")</f>
        <v/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customFormat="false" ht="45" hidden="false" customHeight="true" outlineLevel="0" collapsed="false">
      <c r="A11" s="10" t="n">
        <v>7</v>
      </c>
      <c r="B11" s="19" t="s">
        <v>186</v>
      </c>
      <c r="C11" s="12" t="s">
        <v>168</v>
      </c>
      <c r="D11" s="12"/>
      <c r="E11" s="14"/>
      <c r="F11" s="14"/>
      <c r="G11" s="14"/>
      <c r="H11" s="12" t="str">
        <f aca="false">IF(AND(F11&lt;&gt;"",G11&lt;&gt;""),F11&amp;", "&amp;G11&amp;", TP. Hồ Chí Minh","")</f>
        <v/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customFormat="false" ht="45" hidden="false" customHeight="true" outlineLevel="0" collapsed="false">
      <c r="A12" s="10" t="n">
        <v>8</v>
      </c>
      <c r="B12" s="19" t="s">
        <v>187</v>
      </c>
      <c r="C12" s="12" t="s">
        <v>168</v>
      </c>
      <c r="D12" s="12"/>
      <c r="E12" s="14"/>
      <c r="F12" s="14"/>
      <c r="G12" s="14"/>
      <c r="H12" s="12" t="str">
        <f aca="false">IF(AND(F12&lt;&gt;"",G12&lt;&gt;""),F12&amp;", "&amp;G12&amp;", TP. Hồ Chí Minh","")</f>
        <v/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customFormat="false" ht="45" hidden="false" customHeight="true" outlineLevel="0" collapsed="false">
      <c r="A13" s="10" t="n">
        <v>9</v>
      </c>
      <c r="B13" s="19" t="s">
        <v>188</v>
      </c>
      <c r="C13" s="12" t="s">
        <v>168</v>
      </c>
      <c r="D13" s="12"/>
      <c r="E13" s="14"/>
      <c r="F13" s="14"/>
      <c r="G13" s="14"/>
      <c r="H13" s="12" t="str">
        <f aca="false">IF(AND(F13&lt;&gt;"",G13&lt;&gt;""),F13&amp;", "&amp;G13&amp;", TP. Hồ Chí Minh","")</f>
        <v/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customFormat="false" ht="45" hidden="false" customHeight="true" outlineLevel="0" collapsed="false">
      <c r="A14" s="10" t="n">
        <v>10</v>
      </c>
      <c r="B14" s="19" t="s">
        <v>189</v>
      </c>
      <c r="C14" s="12" t="s">
        <v>168</v>
      </c>
      <c r="D14" s="12" t="s">
        <v>190</v>
      </c>
      <c r="E14" s="14"/>
      <c r="F14" s="14"/>
      <c r="G14" s="14"/>
      <c r="H14" s="12" t="str">
        <f aca="false">IF(AND(F14&lt;&gt;"",G14&lt;&gt;""),F14&amp;", "&amp;G14&amp;", TP. Hồ Chí Minh","")</f>
        <v/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customFormat="false" ht="45" hidden="false" customHeight="true" outlineLevel="0" collapsed="false">
      <c r="A15" s="10" t="n">
        <v>11</v>
      </c>
      <c r="B15" s="19" t="s">
        <v>191</v>
      </c>
      <c r="C15" s="12" t="s">
        <v>168</v>
      </c>
      <c r="D15" s="12" t="s">
        <v>192</v>
      </c>
      <c r="E15" s="14"/>
      <c r="F15" s="14"/>
      <c r="G15" s="14"/>
      <c r="H15" s="12" t="str">
        <f aca="false">IF(AND(F15&lt;&gt;"",G15&lt;&gt;""),F15&amp;", "&amp;G15&amp;", TP. Hồ Chí Minh","")</f>
        <v/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 t="s">
        <v>193</v>
      </c>
    </row>
    <row r="16" customFormat="false" ht="45" hidden="false" customHeight="true" outlineLevel="0" collapsed="false">
      <c r="A16" s="10" t="n">
        <v>12</v>
      </c>
      <c r="B16" s="19" t="s">
        <v>194</v>
      </c>
      <c r="C16" s="12" t="s">
        <v>168</v>
      </c>
      <c r="D16" s="12" t="s">
        <v>190</v>
      </c>
      <c r="E16" s="14"/>
      <c r="F16" s="14"/>
      <c r="G16" s="14"/>
      <c r="H16" s="12" t="str">
        <f aca="false">IF(AND(F16&lt;&gt;"",G16&lt;&gt;""),F16&amp;", "&amp;G16&amp;", TP. Hồ Chí Minh","")</f>
        <v/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customFormat="false" ht="45" hidden="false" customHeight="true" outlineLevel="0" collapsed="false">
      <c r="A17" s="10" t="n">
        <v>13</v>
      </c>
      <c r="B17" s="19" t="s">
        <v>195</v>
      </c>
      <c r="C17" s="12" t="s">
        <v>168</v>
      </c>
      <c r="D17" s="12" t="s">
        <v>190</v>
      </c>
      <c r="E17" s="14"/>
      <c r="F17" s="14"/>
      <c r="G17" s="14"/>
      <c r="H17" s="12" t="str">
        <f aca="false">IF(AND(F17&lt;&gt;"",G17&lt;&gt;""),F17&amp;", "&amp;G17&amp;", TP. Hồ Chí Minh","")</f>
        <v/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customFormat="false" ht="45" hidden="false" customHeight="true" outlineLevel="0" collapsed="false">
      <c r="A18" s="10" t="n">
        <v>14</v>
      </c>
      <c r="B18" s="19" t="s">
        <v>196</v>
      </c>
      <c r="C18" s="12" t="s">
        <v>168</v>
      </c>
      <c r="D18" s="12"/>
      <c r="E18" s="14"/>
      <c r="F18" s="14"/>
      <c r="G18" s="14"/>
      <c r="H18" s="12" t="str">
        <f aca="false">IF(AND(F18&lt;&gt;"",G18&lt;&gt;""),F18&amp;", "&amp;G18&amp;", TP. Hồ Chí Minh","")</f>
        <v/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customFormat="false" ht="45" hidden="false" customHeight="true" outlineLevel="0" collapsed="false">
      <c r="A19" s="10" t="n">
        <v>15</v>
      </c>
      <c r="B19" s="19" t="s">
        <v>197</v>
      </c>
      <c r="C19" s="12" t="s">
        <v>168</v>
      </c>
      <c r="D19" s="12" t="s">
        <v>198</v>
      </c>
      <c r="E19" s="14"/>
      <c r="F19" s="14"/>
      <c r="G19" s="14"/>
      <c r="H19" s="12" t="str">
        <f aca="false">IF(AND(F19&lt;&gt;"",G19&lt;&gt;""),F19&amp;", "&amp;G19&amp;", TP. Hồ Chí Minh","")</f>
        <v/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customFormat="false" ht="45" hidden="false" customHeight="true" outlineLevel="0" collapsed="false">
      <c r="A20" s="10" t="n">
        <v>16</v>
      </c>
      <c r="B20" s="19" t="s">
        <v>199</v>
      </c>
      <c r="C20" s="12" t="s">
        <v>168</v>
      </c>
      <c r="D20" s="12" t="s">
        <v>190</v>
      </c>
      <c r="E20" s="14"/>
      <c r="F20" s="14"/>
      <c r="G20" s="14"/>
      <c r="H20" s="12" t="str">
        <f aca="false">IF(AND(F20&lt;&gt;"",G20&lt;&gt;""),F20&amp;", "&amp;G20&amp;", TP. Hồ Chí Minh","")</f>
        <v/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 t="s">
        <v>200</v>
      </c>
    </row>
    <row r="21" customFormat="false" ht="45" hidden="false" customHeight="true" outlineLevel="0" collapsed="false">
      <c r="A21" s="10" t="n">
        <v>17</v>
      </c>
      <c r="B21" s="19" t="s">
        <v>201</v>
      </c>
      <c r="C21" s="12" t="s">
        <v>202</v>
      </c>
      <c r="D21" s="12" t="s">
        <v>190</v>
      </c>
      <c r="E21" s="14"/>
      <c r="F21" s="14"/>
      <c r="G21" s="14"/>
      <c r="H21" s="12" t="str">
        <f aca="false">IF(AND(F21&lt;&gt;"",G21&lt;&gt;""),F21&amp;", "&amp;G21&amp;", TP. Hồ Chí Minh","")</f>
        <v/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 t="s">
        <v>203</v>
      </c>
    </row>
    <row r="22" customFormat="false" ht="45" hidden="false" customHeight="true" outlineLevel="0" collapsed="false">
      <c r="A22" s="10" t="n">
        <v>18</v>
      </c>
      <c r="B22" s="19" t="s">
        <v>204</v>
      </c>
      <c r="C22" s="12" t="s">
        <v>202</v>
      </c>
      <c r="D22" s="12"/>
      <c r="E22" s="14"/>
      <c r="F22" s="14"/>
      <c r="G22" s="14"/>
      <c r="H22" s="12" t="str">
        <f aca="false">IF(AND(F22&lt;&gt;"",G22&lt;&gt;""),F22&amp;", "&amp;G22&amp;", TP. Hồ Chí Minh","")</f>
        <v/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 t="s">
        <v>205</v>
      </c>
    </row>
    <row r="23" customFormat="false" ht="45" hidden="false" customHeight="true" outlineLevel="0" collapsed="false">
      <c r="A23" s="10" t="n">
        <v>19</v>
      </c>
      <c r="B23" s="19" t="s">
        <v>206</v>
      </c>
      <c r="C23" s="12" t="s">
        <v>202</v>
      </c>
      <c r="D23" s="12"/>
      <c r="E23" s="14"/>
      <c r="F23" s="14"/>
      <c r="G23" s="14"/>
      <c r="H23" s="12" t="str">
        <f aca="false">IF(AND(F23&lt;&gt;"",G23&lt;&gt;""),F23&amp;", "&amp;G23&amp;", TP. Hồ Chí Minh","")</f>
        <v/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 t="s">
        <v>207</v>
      </c>
    </row>
    <row r="24" customFormat="false" ht="45" hidden="false" customHeight="true" outlineLevel="0" collapsed="false">
      <c r="A24" s="10" t="n">
        <v>20</v>
      </c>
      <c r="B24" s="19" t="s">
        <v>208</v>
      </c>
      <c r="C24" s="12" t="s">
        <v>209</v>
      </c>
      <c r="D24" s="12" t="s">
        <v>190</v>
      </c>
      <c r="E24" s="14"/>
      <c r="F24" s="14"/>
      <c r="G24" s="14"/>
      <c r="H24" s="12" t="str">
        <f aca="false">IF(AND(F24&lt;&gt;"",G24&lt;&gt;""),F24&amp;", "&amp;G24&amp;", TP. Hồ Chí Minh","")</f>
        <v/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customFormat="false" ht="45" hidden="false" customHeight="true" outlineLevel="0" collapsed="false">
      <c r="A25" s="10" t="n">
        <v>21</v>
      </c>
      <c r="B25" s="19" t="s">
        <v>210</v>
      </c>
      <c r="C25" s="12" t="s">
        <v>209</v>
      </c>
      <c r="D25" s="12"/>
      <c r="E25" s="14"/>
      <c r="F25" s="14"/>
      <c r="G25" s="14"/>
      <c r="H25" s="12" t="str">
        <f aca="false">IF(AND(F25&lt;&gt;"",G25&lt;&gt;""),F25&amp;", "&amp;G25&amp;", TP. Hồ Chí Minh","")</f>
        <v/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customFormat="false" ht="45" hidden="false" customHeight="true" outlineLevel="0" collapsed="false">
      <c r="A26" s="10" t="n">
        <v>22</v>
      </c>
      <c r="B26" s="19" t="s">
        <v>211</v>
      </c>
      <c r="C26" s="12" t="s">
        <v>209</v>
      </c>
      <c r="D26" s="12"/>
      <c r="E26" s="14"/>
      <c r="F26" s="14"/>
      <c r="G26" s="14"/>
      <c r="H26" s="12" t="str">
        <f aca="false">IF(AND(F26&lt;&gt;"",G26&lt;&gt;""),F26&amp;", "&amp;G26&amp;", TP. Hồ Chí Minh","")</f>
        <v/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customFormat="false" ht="45" hidden="false" customHeight="true" outlineLevel="0" collapsed="false">
      <c r="A27" s="10" t="n">
        <v>23</v>
      </c>
      <c r="B27" s="19" t="s">
        <v>212</v>
      </c>
      <c r="C27" s="12" t="s">
        <v>209</v>
      </c>
      <c r="D27" s="12" t="s">
        <v>190</v>
      </c>
      <c r="E27" s="14"/>
      <c r="F27" s="14"/>
      <c r="G27" s="14"/>
      <c r="H27" s="12" t="str">
        <f aca="false">IF(AND(F27&lt;&gt;"",G27&lt;&gt;""),F27&amp;", "&amp;G27&amp;", TP. Hồ Chí Minh","")</f>
        <v/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customFormat="false" ht="45" hidden="false" customHeight="true" outlineLevel="0" collapsed="false">
      <c r="A28" s="10" t="n">
        <v>24</v>
      </c>
      <c r="B28" s="19" t="s">
        <v>213</v>
      </c>
      <c r="C28" s="12" t="s">
        <v>209</v>
      </c>
      <c r="D28" s="12"/>
      <c r="E28" s="14"/>
      <c r="F28" s="14"/>
      <c r="G28" s="14"/>
      <c r="H28" s="12" t="str">
        <f aca="false">IF(AND(F28&lt;&gt;"",G28&lt;&gt;""),F28&amp;", "&amp;G28&amp;", TP. Hồ Chí Minh","")</f>
        <v/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customFormat="false" ht="45" hidden="false" customHeight="true" outlineLevel="0" collapsed="false">
      <c r="A29" s="10" t="n">
        <v>25</v>
      </c>
      <c r="B29" s="20"/>
      <c r="C29" s="12" t="s">
        <v>214</v>
      </c>
      <c r="D29" s="12"/>
      <c r="E29" s="14"/>
      <c r="F29" s="14"/>
      <c r="G29" s="14"/>
      <c r="H29" s="12" t="str">
        <f aca="false">IF(AND(F29&lt;&gt;"",G29&lt;&gt;""),F29&amp;", "&amp;G29&amp;", TP. Hồ Chí Minh","")</f>
        <v/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customFormat="false" ht="45" hidden="false" customHeight="true" outlineLevel="0" collapsed="false">
      <c r="A30" s="10" t="n">
        <v>26</v>
      </c>
      <c r="B30" s="20"/>
      <c r="C30" s="12" t="s">
        <v>214</v>
      </c>
      <c r="D30" s="12"/>
      <c r="E30" s="14"/>
      <c r="F30" s="14"/>
      <c r="G30" s="14"/>
      <c r="H30" s="12" t="str">
        <f aca="false">IF(AND(F30&lt;&gt;"",G30&lt;&gt;""),F30&amp;", "&amp;G30&amp;", TP. Hồ Chí Minh","")</f>
        <v/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</sheetData>
  <dataValidations count="3">
    <dataValidation allowBlank="true" errorStyle="stop" operator="between" showDropDown="false" showErrorMessage="false" showInputMessage="false" sqref="E5:E30 K5:K30" type="list">
      <formula1>"Có,Không"</formula1>
      <formula2>0</formula2>
    </dataValidation>
    <dataValidation allowBlank="true" errorStyle="stop" operator="between" showDropDown="false" showErrorMessage="false" showInputMessage="false" sqref="I5:I30" type="list">
      <formula1>"Xưởng,Cửa hàng,Văn phòng,Điểm tiếp nhận"</formula1>
      <formula2>0</formula2>
    </dataValidation>
    <dataValidation allowBlank="true" error="Ghi số phút, ví dụ 30" errorStyle="stop" operator="between" showDropDown="false" showErrorMessage="true" showInputMessage="false" sqref="N5:N30" type="whole">
      <formula1>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2026-10-07T04:10:34Z</dcterms:created>
  <dc:creator>openpyxl</dc:creator>
  <dc:description/>
  <dc:language>en-US</dc:language>
  <cp:lastModifiedBy/>
  <dcterms:modified xsi:type="dcterms:W3CDTF">2026-10-07T04:10:34Z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